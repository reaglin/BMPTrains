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4 Consulting after STE LLC Closing\BMPTrains future\Multiple Catchments\"/>
    </mc:Choice>
  </mc:AlternateContent>
  <xr:revisionPtr revIDLastSave="0" documentId="8_{A481B0EB-8252-4EDA-ABA3-4CA7B99A63DD}" xr6:coauthVersionLast="47" xr6:coauthVersionMax="47" xr10:uidLastSave="{00000000-0000-0000-0000-000000000000}"/>
  <bookViews>
    <workbookView xWindow="-108" yWindow="-108" windowWidth="23256" windowHeight="12456" xr2:uid="{3D30A5CB-BE14-42CE-8E4B-20E0FA8EF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N10" i="1"/>
  <c r="M10" i="1"/>
  <c r="G8" i="1"/>
  <c r="G7" i="1"/>
  <c r="U10" i="1"/>
  <c r="V10" i="1" s="1"/>
  <c r="U9" i="1"/>
  <c r="H9" i="1"/>
  <c r="H8" i="1"/>
  <c r="V8" i="1"/>
  <c r="V9" i="1"/>
  <c r="V7" i="1"/>
  <c r="T10" i="1"/>
  <c r="T9" i="1"/>
  <c r="S10" i="1"/>
  <c r="S9" i="1"/>
  <c r="S8" i="1"/>
  <c r="N8" i="1"/>
  <c r="N9" i="1"/>
  <c r="N7" i="1"/>
  <c r="T8" i="1"/>
  <c r="K8" i="1"/>
  <c r="S7" i="1"/>
  <c r="J8" i="1"/>
  <c r="R9" i="1"/>
  <c r="Q9" i="1"/>
  <c r="Q8" i="1"/>
  <c r="P8" i="1"/>
  <c r="P7" i="1"/>
  <c r="P9" i="1"/>
  <c r="N14" i="1"/>
  <c r="N13" i="1"/>
  <c r="G9" i="1"/>
  <c r="K17" i="1"/>
  <c r="L14" i="1"/>
  <c r="L13" i="1"/>
  <c r="K14" i="1"/>
  <c r="K13" i="1"/>
  <c r="J14" i="1"/>
  <c r="J13" i="1"/>
  <c r="D15" i="1" l="1"/>
  <c r="C15" i="1"/>
  <c r="M1" i="1"/>
  <c r="E7" i="1"/>
  <c r="F7" i="1" l="1"/>
  <c r="E8" i="1"/>
  <c r="J7" i="1" l="1"/>
  <c r="E9" i="1"/>
  <c r="F9" i="1" s="1"/>
  <c r="I9" i="1" l="1"/>
  <c r="L9" i="1" l="1"/>
  <c r="L10" i="1" s="1"/>
  <c r="K9" i="1"/>
  <c r="K10" i="1" s="1"/>
  <c r="J9" i="1"/>
  <c r="J10" i="1" s="1"/>
  <c r="M14" i="1" l="1"/>
  <c r="M13" i="1"/>
</calcChain>
</file>

<file path=xl/sharedStrings.xml><?xml version="1.0" encoding="utf-8"?>
<sst xmlns="http://schemas.openxmlformats.org/spreadsheetml/2006/main" count="58" uniqueCount="55">
  <si>
    <t>#</t>
  </si>
  <si>
    <t>Catchment</t>
  </si>
  <si>
    <t>Cumulative</t>
  </si>
  <si>
    <t xml:space="preserve">N Removal </t>
  </si>
  <si>
    <t>P Removal</t>
  </si>
  <si>
    <t>kg/yr</t>
  </si>
  <si>
    <t>% of total</t>
  </si>
  <si>
    <t>total kg/yr</t>
  </si>
  <si>
    <t>Post Loadings (kg/yr)</t>
  </si>
  <si>
    <t xml:space="preserve">TN </t>
  </si>
  <si>
    <t xml:space="preserve">TP </t>
  </si>
  <si>
    <t>by Marty Wanielista</t>
  </si>
  <si>
    <t>Area(acres)</t>
  </si>
  <si>
    <t>Volume (ac-ft)</t>
  </si>
  <si>
    <t>Volume</t>
  </si>
  <si>
    <t>Stand-alone BMP</t>
  </si>
  <si>
    <t>Catchment 1</t>
  </si>
  <si>
    <t>TD (inches)</t>
  </si>
  <si>
    <t>Catchment 2</t>
  </si>
  <si>
    <t>Catchment 3</t>
  </si>
  <si>
    <t>basin 1</t>
  </si>
  <si>
    <t>basin 2</t>
  </si>
  <si>
    <t>basin 3</t>
  </si>
  <si>
    <t>% N Removal *</t>
  </si>
  <si>
    <t>% P Removal *</t>
  </si>
  <si>
    <t>stand-alone</t>
  </si>
  <si>
    <t>efficiency</t>
  </si>
  <si>
    <t>removal=</t>
  </si>
  <si>
    <t>Basin</t>
  </si>
  <si>
    <t>TD</t>
  </si>
  <si>
    <t>inches</t>
  </si>
  <si>
    <t>Removed</t>
  </si>
  <si>
    <t>Multiple Catchments Effectiveness with Retention Basins in series (one basin per catchment)</t>
  </si>
  <si>
    <t>The fundamental removal relationships are:</t>
  </si>
  <si>
    <t xml:space="preserve">  compared to series equation:</t>
  </si>
  <si>
    <t>1-[(1-.65)x(1-.74)x(1-.67)] =.97  or</t>
  </si>
  <si>
    <t>Using Fundamental Relationships for average annual capture (retention)</t>
  </si>
  <si>
    <t>Cumulative TD</t>
  </si>
  <si>
    <t>TD sum ck</t>
  </si>
  <si>
    <t>in basin #</t>
  </si>
  <si>
    <t>Reasoning: For retention basins in multiple catchments and in series: E calculated on the treatment depth in each catchment.</t>
  </si>
  <si>
    <t>* Annual percentage removed from each basin is that associated with the cumulative volume using fundamental relationships of E is a f(TD).</t>
  </si>
  <si>
    <t>Calculations if using % of TD.  Result is the same cumulative TD cell M10=cell V10</t>
  </si>
  <si>
    <t>Retention in Series with allocated retention volumes per catchment</t>
  </si>
  <si>
    <t>% of basin volume in each catchment</t>
  </si>
  <si>
    <t xml:space="preserve">% of #1 </t>
  </si>
  <si>
    <t xml:space="preserve">% of # 2 </t>
  </si>
  <si>
    <t xml:space="preserve">% of #3 </t>
  </si>
  <si>
    <t>Retention Basin</t>
  </si>
  <si>
    <t>TD For each catchment</t>
  </si>
  <si>
    <t>For BMPFast:  Change the input on retention worksheet to Basin Volume (acre-feet)</t>
  </si>
  <si>
    <t>note calculate the treatment depth from the retention basin volume or TD= basin volume (acre-ft) x 12 in/ft/ catchment area (acres)</t>
  </si>
  <si>
    <t xml:space="preserve">AS WEEL AS the effectiveness calculation routine for retention in series. </t>
  </si>
  <si>
    <t>TD is the retention Treatment Depth = retention basin volume (ac-ft) x 12 (in per ft)/catchment area (acres)</t>
  </si>
  <si>
    <t>BMPTrains gets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</si>
</sst>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9" fontId="0" fillId="0" borderId="6" xfId="1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/>
    <xf numFmtId="9" fontId="0" fillId="0" borderId="9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>
      <alignment horizontal="center"/>
    </xf>
    <xf numFmtId="0" fontId="2" fillId="0" borderId="0" xfId="0" applyFont="1"/>
    <xf numFmtId="167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/>
    <xf numFmtId="0" fontId="0" fillId="2" borderId="12" xfId="0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11" xfId="0" applyFill="1" applyBorder="1" applyAlignment="1">
      <alignment horizontal="center"/>
    </xf>
    <xf numFmtId="0" fontId="0" fillId="0" borderId="11" xfId="0" applyBorder="1"/>
    <xf numFmtId="2" fontId="0" fillId="2" borderId="12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lef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0" xfId="0" applyFill="1" applyBorder="1" applyAlignment="1">
      <alignment horizontal="center"/>
    </xf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18</xdr:row>
      <xdr:rowOff>30479</xdr:rowOff>
    </xdr:from>
    <xdr:to>
      <xdr:col>4</xdr:col>
      <xdr:colOff>575754</xdr:colOff>
      <xdr:row>29</xdr:row>
      <xdr:rowOff>129538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E335E1-39AC-6E18-E12E-E3E2A770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3322319"/>
          <a:ext cx="2541246" cy="2110739"/>
        </a:xfrm>
        <a:prstGeom prst="rect">
          <a:avLst/>
        </a:prstGeom>
      </xdr:spPr>
    </xdr:pic>
    <xdr:clientData/>
  </xdr:twoCellAnchor>
  <xdr:twoCellAnchor editAs="oneCell">
    <xdr:from>
      <xdr:col>4</xdr:col>
      <xdr:colOff>670560</xdr:colOff>
      <xdr:row>18</xdr:row>
      <xdr:rowOff>30480</xdr:rowOff>
    </xdr:from>
    <xdr:to>
      <xdr:col>9</xdr:col>
      <xdr:colOff>99059</xdr:colOff>
      <xdr:row>29</xdr:row>
      <xdr:rowOff>150405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EA5CD9-6A0E-CD24-F5F1-1BFE4F03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0" y="3322320"/>
          <a:ext cx="2689859" cy="2131605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</xdr:colOff>
      <xdr:row>18</xdr:row>
      <xdr:rowOff>60961</xdr:rowOff>
    </xdr:from>
    <xdr:to>
      <xdr:col>13</xdr:col>
      <xdr:colOff>193709</xdr:colOff>
      <xdr:row>29</xdr:row>
      <xdr:rowOff>167640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CD0564-9564-E4AB-76F3-99B48AF9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9740" y="3352801"/>
          <a:ext cx="2464469" cy="2118359"/>
        </a:xfrm>
        <a:prstGeom prst="rect">
          <a:avLst/>
        </a:prstGeom>
      </xdr:spPr>
    </xdr:pic>
    <xdr:clientData/>
  </xdr:twoCellAnchor>
  <xdr:twoCellAnchor editAs="oneCell">
    <xdr:from>
      <xdr:col>6</xdr:col>
      <xdr:colOff>350520</xdr:colOff>
      <xdr:row>14</xdr:row>
      <xdr:rowOff>22861</xdr:rowOff>
    </xdr:from>
    <xdr:to>
      <xdr:col>14</xdr:col>
      <xdr:colOff>72814</xdr:colOff>
      <xdr:row>15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1DDC33-F442-811F-D600-7BB101F55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9980" y="2583181"/>
          <a:ext cx="4949614" cy="28193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14</xdr:col>
      <xdr:colOff>403860</xdr:colOff>
      <xdr:row>12</xdr:row>
      <xdr:rowOff>7620</xdr:rowOff>
    </xdr:from>
    <xdr:to>
      <xdr:col>23</xdr:col>
      <xdr:colOff>464820</xdr:colOff>
      <xdr:row>29</xdr:row>
      <xdr:rowOff>59429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F3573B-12BC-3118-BE4C-4D856C97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8260" y="2202180"/>
          <a:ext cx="5593080" cy="3160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B63D-BC11-4BEF-B89E-BA74E4605965}">
  <dimension ref="A1:V33"/>
  <sheetViews>
    <sheetView tabSelected="1" zoomScale="98" zoomScaleNormal="98" workbookViewId="0">
      <selection activeCell="G9" sqref="G9"/>
    </sheetView>
  </sheetViews>
  <sheetFormatPr defaultRowHeight="14.4" x14ac:dyDescent="0.3"/>
  <cols>
    <col min="1" max="1" width="1.109375" customWidth="1"/>
    <col min="2" max="2" width="5.109375" customWidth="1"/>
    <col min="3" max="3" width="9.88671875" customWidth="1"/>
    <col min="4" max="4" width="12.77734375" customWidth="1"/>
    <col min="5" max="5" width="10.109375" customWidth="1"/>
    <col min="7" max="7" width="9.33203125" customWidth="1"/>
    <col min="8" max="8" width="9.77734375" customWidth="1"/>
    <col min="9" max="9" width="9.44140625" customWidth="1"/>
    <col min="10" max="10" width="9.109375" customWidth="1"/>
    <col min="13" max="13" width="10.33203125" bestFit="1" customWidth="1"/>
    <col min="14" max="14" width="10.44140625" customWidth="1"/>
    <col min="16" max="16" width="9.5546875" bestFit="1" customWidth="1"/>
  </cols>
  <sheetData>
    <row r="1" spans="1:22" x14ac:dyDescent="0.3">
      <c r="A1" s="31" t="s">
        <v>32</v>
      </c>
      <c r="K1" t="s">
        <v>11</v>
      </c>
      <c r="M1" s="3">
        <f ca="1">TODAY()</f>
        <v>45992</v>
      </c>
    </row>
    <row r="2" spans="1:22" x14ac:dyDescent="0.3">
      <c r="B2" t="s">
        <v>43</v>
      </c>
      <c r="I2" t="s">
        <v>36</v>
      </c>
    </row>
    <row r="3" spans="1:22" x14ac:dyDescent="0.3">
      <c r="D3" t="s">
        <v>53</v>
      </c>
    </row>
    <row r="4" spans="1:22" x14ac:dyDescent="0.3">
      <c r="B4" s="4"/>
      <c r="C4" s="43" t="s">
        <v>15</v>
      </c>
      <c r="D4" s="44"/>
      <c r="E4" s="5"/>
      <c r="F4" s="5"/>
      <c r="G4" s="14" t="s">
        <v>44</v>
      </c>
      <c r="H4" s="6"/>
      <c r="I4" s="15"/>
      <c r="J4" s="14" t="s">
        <v>17</v>
      </c>
      <c r="K4" s="6"/>
      <c r="L4" s="15"/>
    </row>
    <row r="5" spans="1:22" x14ac:dyDescent="0.3">
      <c r="B5" s="7" t="s">
        <v>28</v>
      </c>
      <c r="C5" s="7" t="s">
        <v>1</v>
      </c>
      <c r="D5" s="36" t="s">
        <v>48</v>
      </c>
      <c r="E5" s="36" t="s">
        <v>2</v>
      </c>
      <c r="F5" s="42" t="s">
        <v>29</v>
      </c>
      <c r="G5" s="36" t="s">
        <v>45</v>
      </c>
      <c r="H5" s="36" t="s">
        <v>46</v>
      </c>
      <c r="I5" s="36" t="s">
        <v>47</v>
      </c>
      <c r="J5" s="9"/>
      <c r="K5" s="9"/>
      <c r="L5" s="10"/>
      <c r="P5" t="s">
        <v>42</v>
      </c>
    </row>
    <row r="6" spans="1:22" x14ac:dyDescent="0.3">
      <c r="B6" s="24" t="s">
        <v>0</v>
      </c>
      <c r="C6" s="24" t="s">
        <v>12</v>
      </c>
      <c r="D6" s="29" t="s">
        <v>13</v>
      </c>
      <c r="E6" s="26" t="s">
        <v>14</v>
      </c>
      <c r="F6" s="17" t="s">
        <v>30</v>
      </c>
      <c r="G6" s="26" t="s">
        <v>39</v>
      </c>
      <c r="H6" s="26" t="s">
        <v>39</v>
      </c>
      <c r="I6" s="26" t="s">
        <v>39</v>
      </c>
      <c r="J6" s="33" t="s">
        <v>20</v>
      </c>
      <c r="K6" s="33" t="s">
        <v>21</v>
      </c>
      <c r="L6" s="33" t="s">
        <v>22</v>
      </c>
      <c r="N6" s="56" t="s">
        <v>38</v>
      </c>
      <c r="S6" t="s">
        <v>49</v>
      </c>
    </row>
    <row r="7" spans="1:22" x14ac:dyDescent="0.3">
      <c r="B7" s="11">
        <v>1</v>
      </c>
      <c r="C7" s="11">
        <v>20.75</v>
      </c>
      <c r="D7" s="50">
        <v>0.86</v>
      </c>
      <c r="E7" s="27">
        <f>D7</f>
        <v>0.86</v>
      </c>
      <c r="F7" s="18">
        <f>E7*12/C7</f>
        <v>0.49734939759036145</v>
      </c>
      <c r="G7" s="27">
        <f>100*D7/E7</f>
        <v>100</v>
      </c>
      <c r="H7" s="30"/>
      <c r="I7" s="30"/>
      <c r="J7" s="27">
        <f>F7*G7/100</f>
        <v>0.49734939759036145</v>
      </c>
      <c r="K7" s="30"/>
      <c r="L7" s="36"/>
      <c r="N7" s="27">
        <f>J7+K7+L7</f>
        <v>0.49734939759036145</v>
      </c>
      <c r="P7" s="1">
        <f>100*F7/F7</f>
        <v>100</v>
      </c>
      <c r="S7" s="1">
        <f>G7*F7/100</f>
        <v>0.49734939759036145</v>
      </c>
      <c r="V7" s="1">
        <f>S7+T7+U7</f>
        <v>0.49734939759036145</v>
      </c>
    </row>
    <row r="8" spans="1:22" x14ac:dyDescent="0.3">
      <c r="B8" s="11">
        <v>2</v>
      </c>
      <c r="C8" s="11">
        <v>25.13</v>
      </c>
      <c r="D8" s="50">
        <v>1.47</v>
      </c>
      <c r="E8" s="27">
        <f>E7+D8</f>
        <v>2.33</v>
      </c>
      <c r="F8" s="18">
        <f>E8*12/(C8+C7)</f>
        <v>0.60941586748038368</v>
      </c>
      <c r="G8" s="27">
        <f>100*D7/E8</f>
        <v>36.909871244635191</v>
      </c>
      <c r="H8" s="27">
        <f>100*D8/E8</f>
        <v>63.090128755364802</v>
      </c>
      <c r="I8" s="30"/>
      <c r="J8" s="27">
        <f>F8*G8/100</f>
        <v>0.22493461203138623</v>
      </c>
      <c r="K8" s="27">
        <f>F8*H8/100</f>
        <v>0.38448125544899736</v>
      </c>
      <c r="L8" s="30"/>
      <c r="N8" s="27">
        <f>J8+K8+L8</f>
        <v>0.60941586748038357</v>
      </c>
      <c r="P8" s="1">
        <f>100*F7/(F7+F8)</f>
        <v>44.937206947723517</v>
      </c>
      <c r="Q8" s="1">
        <f>100*F8/(F7+F8)</f>
        <v>55.062793052276483</v>
      </c>
      <c r="S8" s="1">
        <f>P8*F8/100</f>
        <v>0.27385446954192455</v>
      </c>
      <c r="T8" s="1">
        <f>Q8*F8/100</f>
        <v>0.33556139793845913</v>
      </c>
      <c r="V8" s="1">
        <f t="shared" ref="V8:V10" si="0">S8+T8+U8</f>
        <v>0.60941586748038368</v>
      </c>
    </row>
    <row r="9" spans="1:22" x14ac:dyDescent="0.3">
      <c r="B9" s="12">
        <v>3</v>
      </c>
      <c r="C9" s="12">
        <v>37.409999999999997</v>
      </c>
      <c r="D9" s="51">
        <v>2.23</v>
      </c>
      <c r="E9" s="28">
        <f>E8+D9</f>
        <v>4.5600000000000005</v>
      </c>
      <c r="F9" s="13">
        <f>E9*12/(C9+C8+C7)</f>
        <v>0.65698163044783298</v>
      </c>
      <c r="G9" s="28">
        <f>100*D7/E9</f>
        <v>18.859649122807017</v>
      </c>
      <c r="H9" s="28">
        <f>100*D8/E9</f>
        <v>32.236842105263158</v>
      </c>
      <c r="I9" s="28">
        <f>100*D9/E9</f>
        <v>48.903508771929822</v>
      </c>
      <c r="J9" s="28">
        <f>F9*G9/100</f>
        <v>0.12390443030375797</v>
      </c>
      <c r="K9" s="28">
        <f>F9*H9/100</f>
        <v>0.21179013086805143</v>
      </c>
      <c r="L9" s="27">
        <f>F9*I9/100</f>
        <v>0.32128706927602357</v>
      </c>
      <c r="N9" s="27">
        <f>J9+K9+L9</f>
        <v>0.65698163044783298</v>
      </c>
      <c r="P9" s="1">
        <f>100*F7/(F7+F8+F9)</f>
        <v>28.198456300847543</v>
      </c>
      <c r="Q9" s="1">
        <f>100*F8/(F7+F8+F9)</f>
        <v>34.552342460747624</v>
      </c>
      <c r="R9" s="1">
        <f>100*F9/(F7+F8+F9)</f>
        <v>37.249201238404829</v>
      </c>
      <c r="S9" s="1">
        <f>P9*F9/100</f>
        <v>0.18525867796642789</v>
      </c>
      <c r="T9" s="1">
        <f>Q9*F9/100</f>
        <v>0.22700254285653862</v>
      </c>
      <c r="U9" s="1">
        <f>R9*F9/100</f>
        <v>0.24472040962486644</v>
      </c>
      <c r="V9" s="1">
        <f t="shared" si="0"/>
        <v>0.65698163044783298</v>
      </c>
    </row>
    <row r="10" spans="1:22" x14ac:dyDescent="0.3">
      <c r="B10" s="14" t="s">
        <v>8</v>
      </c>
      <c r="C10" s="6"/>
      <c r="D10" s="15"/>
      <c r="E10" s="25" t="s">
        <v>25</v>
      </c>
      <c r="H10" s="54" t="s">
        <v>37</v>
      </c>
      <c r="I10" s="55"/>
      <c r="J10" s="34">
        <f>J7+J8+J9</f>
        <v>0.84618843992550563</v>
      </c>
      <c r="K10" s="34">
        <f>K8+K9</f>
        <v>0.59627138631704879</v>
      </c>
      <c r="L10" s="34">
        <f>L9</f>
        <v>0.32128706927602357</v>
      </c>
      <c r="M10" s="34">
        <f>J10+K10+L10</f>
        <v>1.7637468955185778</v>
      </c>
      <c r="N10" s="34">
        <f>N7+N8+N9</f>
        <v>1.7637468955185782</v>
      </c>
      <c r="S10" s="1">
        <f>S7+S8+S9</f>
        <v>0.95646254509871398</v>
      </c>
      <c r="T10" s="1">
        <f>T8+T9</f>
        <v>0.56256394079499772</v>
      </c>
      <c r="U10" s="1">
        <f>U8+U9</f>
        <v>0.24472040962486644</v>
      </c>
      <c r="V10" s="57">
        <f t="shared" si="0"/>
        <v>1.7637468955185782</v>
      </c>
    </row>
    <row r="11" spans="1:22" x14ac:dyDescent="0.3">
      <c r="B11" s="40"/>
      <c r="C11" s="33" t="s">
        <v>9</v>
      </c>
      <c r="D11" s="33" t="s">
        <v>10</v>
      </c>
      <c r="E11" s="49" t="s">
        <v>26</v>
      </c>
      <c r="H11" s="46" t="s">
        <v>23</v>
      </c>
      <c r="I11" s="47"/>
      <c r="J11" s="35">
        <v>76</v>
      </c>
      <c r="K11" s="35">
        <v>69</v>
      </c>
      <c r="L11" s="32">
        <v>46</v>
      </c>
      <c r="M11" s="43" t="s">
        <v>31</v>
      </c>
      <c r="N11" s="44"/>
    </row>
    <row r="12" spans="1:22" x14ac:dyDescent="0.3">
      <c r="B12" s="38">
        <v>1</v>
      </c>
      <c r="C12" s="39">
        <v>46.732999999999997</v>
      </c>
      <c r="D12" s="16">
        <v>11.657999999999999</v>
      </c>
      <c r="E12" s="38">
        <v>65</v>
      </c>
      <c r="H12" s="19"/>
      <c r="I12" s="45" t="s">
        <v>24</v>
      </c>
      <c r="J12" s="35">
        <v>76</v>
      </c>
      <c r="K12" s="35">
        <v>69</v>
      </c>
      <c r="L12" s="32">
        <v>46</v>
      </c>
      <c r="M12" s="33" t="s">
        <v>7</v>
      </c>
      <c r="N12" s="37" t="s">
        <v>6</v>
      </c>
      <c r="P12" t="s">
        <v>50</v>
      </c>
    </row>
    <row r="13" spans="1:22" x14ac:dyDescent="0.3">
      <c r="B13" s="38">
        <v>2</v>
      </c>
      <c r="C13" s="39">
        <v>53.286000000000001</v>
      </c>
      <c r="D13" s="16">
        <v>12.646000000000001</v>
      </c>
      <c r="E13" s="38">
        <v>74</v>
      </c>
      <c r="H13" s="19" t="s">
        <v>5</v>
      </c>
      <c r="I13" s="8" t="s">
        <v>3</v>
      </c>
      <c r="J13" s="27">
        <f>J11*C12/100</f>
        <v>35.517079999999993</v>
      </c>
      <c r="K13" s="27">
        <f>K11*C13/100</f>
        <v>36.767339999999997</v>
      </c>
      <c r="L13" s="18">
        <f>L11*C14/100</f>
        <v>49.27704</v>
      </c>
      <c r="M13" s="27">
        <f>J13+K13+L13</f>
        <v>121.56145999999998</v>
      </c>
      <c r="N13" s="20">
        <f>M13/C15</f>
        <v>0.58684802286343241</v>
      </c>
    </row>
    <row r="14" spans="1:22" x14ac:dyDescent="0.3">
      <c r="B14" s="38">
        <v>3</v>
      </c>
      <c r="C14" s="39">
        <v>107.124</v>
      </c>
      <c r="D14" s="16">
        <v>26.722000000000001</v>
      </c>
      <c r="E14" s="48">
        <v>67</v>
      </c>
      <c r="H14" s="21" t="s">
        <v>5</v>
      </c>
      <c r="I14" s="22" t="s">
        <v>4</v>
      </c>
      <c r="J14" s="28">
        <f>J12*D12/100</f>
        <v>8.86008</v>
      </c>
      <c r="K14" s="28">
        <f>K12*D13/100</f>
        <v>8.7257400000000001</v>
      </c>
      <c r="L14" s="13">
        <f>L12*D14/100</f>
        <v>12.292120000000001</v>
      </c>
      <c r="M14" s="28">
        <f>J14+K14+L14</f>
        <v>29.877939999999999</v>
      </c>
      <c r="N14" s="23">
        <f>M14/D15</f>
        <v>0.58554344843805117</v>
      </c>
    </row>
    <row r="15" spans="1:22" x14ac:dyDescent="0.3">
      <c r="B15" s="40"/>
      <c r="C15" s="41">
        <f>C12+C13+C14</f>
        <v>207.143</v>
      </c>
      <c r="D15" s="41">
        <f>D12+D13+D14</f>
        <v>51.026000000000003</v>
      </c>
      <c r="E15" s="52" t="s">
        <v>34</v>
      </c>
    </row>
    <row r="17" spans="2:16" x14ac:dyDescent="0.3">
      <c r="G17" t="s">
        <v>27</v>
      </c>
      <c r="H17" t="s">
        <v>35</v>
      </c>
      <c r="J17" s="2"/>
      <c r="K17" s="53">
        <f>1-((1-$E$12/100)*(1-$E$13/100)*(1-$E$14/100))</f>
        <v>0.96997</v>
      </c>
      <c r="L17" t="s">
        <v>54</v>
      </c>
    </row>
    <row r="18" spans="2:16" x14ac:dyDescent="0.3">
      <c r="B18" t="s">
        <v>33</v>
      </c>
    </row>
    <row r="30" spans="2:16" x14ac:dyDescent="0.3">
      <c r="P30" t="s">
        <v>51</v>
      </c>
    </row>
    <row r="31" spans="2:16" x14ac:dyDescent="0.3">
      <c r="D31" t="s">
        <v>16</v>
      </c>
      <c r="H31" t="s">
        <v>18</v>
      </c>
      <c r="L31" t="s">
        <v>19</v>
      </c>
    </row>
    <row r="32" spans="2:16" x14ac:dyDescent="0.3">
      <c r="B32" t="s">
        <v>40</v>
      </c>
      <c r="P32" t="s">
        <v>52</v>
      </c>
    </row>
    <row r="33" spans="2:2" x14ac:dyDescent="0.3">
      <c r="B33" t="s">
        <v>41</v>
      </c>
    </row>
  </sheetData>
  <mergeCells count="7">
    <mergeCell ref="M11:N11"/>
    <mergeCell ref="H10:I10"/>
    <mergeCell ref="G4:I4"/>
    <mergeCell ref="B10:D10"/>
    <mergeCell ref="J4:L4"/>
    <mergeCell ref="C4:D4"/>
    <mergeCell ref="H11:I11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Wanielista</dc:creator>
  <cp:lastModifiedBy>Martin Wanielista</cp:lastModifiedBy>
  <cp:lastPrinted>2025-11-30T22:06:41Z</cp:lastPrinted>
  <dcterms:created xsi:type="dcterms:W3CDTF">2025-11-24T21:15:26Z</dcterms:created>
  <dcterms:modified xsi:type="dcterms:W3CDTF">2025-12-02T00:54:04Z</dcterms:modified>
</cp:coreProperties>
</file>